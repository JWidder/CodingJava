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work\CodingJava\RayTracerJava\src\test\resources\"/>
    </mc:Choice>
  </mc:AlternateContent>
  <xr:revisionPtr revIDLastSave="0" documentId="13_ncr:1_{301A2F69-06BF-4AB4-B6D9-8FC303D0C0EB}" xr6:coauthVersionLast="47" xr6:coauthVersionMax="47" xr10:uidLastSave="{00000000-0000-0000-0000-000000000000}"/>
  <bookViews>
    <workbookView xWindow="-120" yWindow="-120" windowWidth="29040" windowHeight="15720" activeTab="1" xr2:uid="{338BD07A-9120-4399-AB57-E8ADC1ABF2CD}"/>
  </bookViews>
  <sheets>
    <sheet name="Template" sheetId="4" r:id="rId1"/>
    <sheet name="TestIntersectSphere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5" i="1" l="1"/>
  <c r="D44" i="1"/>
  <c r="D43" i="1"/>
  <c r="D41" i="1"/>
  <c r="D40" i="1"/>
  <c r="D39" i="1"/>
  <c r="C35" i="1"/>
  <c r="C36" i="1"/>
  <c r="C37" i="1"/>
  <c r="C33" i="1"/>
  <c r="C32" i="1"/>
  <c r="C31" i="1"/>
  <c r="B29" i="1"/>
  <c r="B28" i="1"/>
  <c r="B27" i="1"/>
  <c r="D58" i="1"/>
  <c r="D56" i="1"/>
  <c r="C54" i="1"/>
  <c r="C52" i="1"/>
  <c r="B50" i="1"/>
  <c r="D57" i="1"/>
  <c r="D55" i="1"/>
  <c r="C53" i="1"/>
  <c r="C51" i="1"/>
  <c r="B49" i="1"/>
  <c r="I19" i="1"/>
  <c r="H18" i="1"/>
  <c r="J16" i="1"/>
  <c r="J15" i="1"/>
  <c r="I14" i="1"/>
  <c r="I13" i="1"/>
  <c r="H12" i="1"/>
  <c r="H11" i="1"/>
  <c r="B11" i="1"/>
  <c r="D16" i="1"/>
  <c r="D15" i="1"/>
  <c r="C14" i="1"/>
  <c r="C13" i="1"/>
  <c r="B12" i="1"/>
  <c r="B48" i="1"/>
  <c r="B47" i="1"/>
  <c r="B25" i="1"/>
  <c r="B24" i="1"/>
  <c r="B23" i="1"/>
  <c r="D42" i="1"/>
  <c r="D38" i="1"/>
  <c r="C34" i="1"/>
  <c r="C30" i="1"/>
  <c r="B26" i="1"/>
  <c r="B22" i="1"/>
  <c r="J9" i="1"/>
  <c r="J8" i="1"/>
  <c r="I7" i="1"/>
  <c r="I6" i="1"/>
  <c r="H5" i="1"/>
  <c r="H4" i="1"/>
  <c r="D9" i="1"/>
  <c r="D8" i="1"/>
  <c r="C7" i="1"/>
  <c r="C6" i="1"/>
  <c r="B5" i="1"/>
  <c r="B4" i="1"/>
  <c r="E10" i="1" a="1"/>
  <c r="E3" i="1" a="1"/>
  <c r="E10" i="1" l="1"/>
  <c r="E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<sst xmlns="http://schemas.openxmlformats.org/spreadsheetml/2006/main" count="126" uniqueCount="18">
  <si>
    <t>#</t>
  </si>
  <si>
    <t>Radius</t>
  </si>
  <si>
    <t>INTERSECTION</t>
  </si>
  <si>
    <t>Touch</t>
  </si>
  <si>
    <t>TOUCH</t>
  </si>
  <si>
    <t>Richtung</t>
  </si>
  <si>
    <t>Missing</t>
  </si>
  <si>
    <t>MISS</t>
  </si>
  <si>
    <t>INTERSECT</t>
  </si>
  <si>
    <t>type</t>
  </si>
  <si>
    <t>status</t>
  </si>
  <si>
    <t>Schnittpunkt</t>
  </si>
  <si>
    <t># Startpunkt</t>
  </si>
  <si>
    <t xml:space="preserve"># Startpunkt </t>
  </si>
  <si>
    <t>BEHIND_INTERSECTION</t>
  </si>
  <si>
    <t>INNER_INTERSECTION</t>
  </si>
  <si>
    <t>Inner</t>
  </si>
  <si>
    <t>Startpunkt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</si>
</sst>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2" fontId="0" fillId="0" borderId="0" xfId="0" applyNumberFormat="1"/>
    <xf numFmtId="164" fontId="0" fillId="0" borderId="0" xfId="0" applyNumberFormat="1"/>
    <xf numFmtId="164" fontId="0" fillId="0" borderId="0" xfId="0" applyNumberFormat="1" applyBorder="1"/>
    <xf numFmtId="164" fontId="0" fillId="0" borderId="1" xfId="0" applyNumberFormat="1" applyBorder="1"/>
    <xf numFmtId="164" fontId="0" fillId="0" borderId="2" xfId="0" applyNumberFormat="1" applyBorder="1"/>
    <xf numFmtId="164" fontId="0" fillId="0" borderId="3" xfId="0" applyNumberFormat="1" applyBorder="1"/>
    <xf numFmtId="164" fontId="0" fillId="0" borderId="4" xfId="0" applyNumberFormat="1" applyBorder="1"/>
    <xf numFmtId="164" fontId="0" fillId="0" borderId="5" xfId="0" applyNumberFormat="1" applyBorder="1"/>
    <xf numFmtId="164" fontId="0" fillId="0" borderId="6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8" xfId="0" applyBorder="1"/>
    <xf numFmtId="2" fontId="0" fillId="0" borderId="1" xfId="0" applyNumberFormat="1" applyBorder="1"/>
    <xf numFmtId="0" fontId="0" fillId="0" borderId="2" xfId="0" applyBorder="1"/>
    <xf numFmtId="2" fontId="0" fillId="0" borderId="4" xfId="0" applyNumberFormat="1" applyBorder="1"/>
    <xf numFmtId="0" fontId="0" fillId="0" borderId="0" xfId="0" applyBorder="1"/>
    <xf numFmtId="2" fontId="0" fillId="0" borderId="6" xfId="0" applyNumberFormat="1" applyBorder="1"/>
    <xf numFmtId="0" fontId="0" fillId="0" borderId="7" xfId="0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0</xdr:row>
          <xdr:rowOff>0</xdr:rowOff>
        </xdr:from>
        <xdr:to>
          <xdr:col>1</xdr:col>
          <xdr:colOff>9525</xdr:colOff>
          <xdr:row>0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0</xdr:row>
          <xdr:rowOff>0</xdr:rowOff>
        </xdr:from>
        <xdr:to>
          <xdr:col>1</xdr:col>
          <xdr:colOff>9525</xdr:colOff>
          <xdr:row>0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0</xdr:colOff>
      <xdr:row>5</xdr:row>
      <xdr:rowOff>0</xdr:rowOff>
    </xdr:from>
    <xdr:to>
      <xdr:col>18</xdr:col>
      <xdr:colOff>190499</xdr:colOff>
      <xdr:row>7</xdr:row>
      <xdr:rowOff>0</xdr:rowOff>
    </xdr:to>
    <xdr:sp macro="" textlink="">
      <xdr:nvSpPr>
        <xdr:cNvPr id="2" name="Ellips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0496550" y="962025"/>
          <a:ext cx="380999" cy="381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15</xdr:col>
      <xdr:colOff>0</xdr:colOff>
      <xdr:row>5</xdr:row>
      <xdr:rowOff>190499</xdr:rowOff>
    </xdr:from>
    <xdr:to>
      <xdr:col>17</xdr:col>
      <xdr:colOff>0</xdr:colOff>
      <xdr:row>6</xdr:row>
      <xdr:rowOff>0</xdr:rowOff>
    </xdr:to>
    <xdr:cxnSp macro="">
      <xdr:nvCxnSpPr>
        <xdr:cNvPr id="4" name="Gerade Verbindung mit Pfeil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>
          <a:endCxn id="2" idx="2"/>
        </xdr:cNvCxnSpPr>
      </xdr:nvCxnSpPr>
      <xdr:spPr>
        <a:xfrm>
          <a:off x="10115550" y="1152524"/>
          <a:ext cx="381000" cy="1"/>
        </a:xfrm>
        <a:prstGeom prst="straightConnector1">
          <a:avLst/>
        </a:prstGeom>
        <a:ln w="444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190499</xdr:colOff>
      <xdr:row>5</xdr:row>
      <xdr:rowOff>190499</xdr:rowOff>
    </xdr:from>
    <xdr:to>
      <xdr:col>21</xdr:col>
      <xdr:colOff>0</xdr:colOff>
      <xdr:row>6</xdr:row>
      <xdr:rowOff>0</xdr:rowOff>
    </xdr:to>
    <xdr:cxnSp macro="">
      <xdr:nvCxnSpPr>
        <xdr:cNvPr id="12" name="Gerade Verbindung mit Pfeil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>
          <a:endCxn id="2" idx="6"/>
        </xdr:cNvCxnSpPr>
      </xdr:nvCxnSpPr>
      <xdr:spPr>
        <a:xfrm flipH="1">
          <a:off x="10877549" y="1152524"/>
          <a:ext cx="381001" cy="1"/>
        </a:xfrm>
        <a:prstGeom prst="straightConnector1">
          <a:avLst/>
        </a:prstGeom>
        <a:ln w="444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3</xdr:row>
      <xdr:rowOff>0</xdr:rowOff>
    </xdr:from>
    <xdr:to>
      <xdr:col>18</xdr:col>
      <xdr:colOff>0</xdr:colOff>
      <xdr:row>5</xdr:row>
      <xdr:rowOff>0</xdr:rowOff>
    </xdr:to>
    <xdr:cxnSp macro="">
      <xdr:nvCxnSpPr>
        <xdr:cNvPr id="14" name="Gerade Verbindung mit Pfeil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>
        <a:xfrm>
          <a:off x="10687050" y="581025"/>
          <a:ext cx="0" cy="381000"/>
        </a:xfrm>
        <a:prstGeom prst="straightConnector1">
          <a:avLst/>
        </a:prstGeom>
        <a:ln w="444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180975</xdr:colOff>
      <xdr:row>7</xdr:row>
      <xdr:rowOff>0</xdr:rowOff>
    </xdr:from>
    <xdr:to>
      <xdr:col>17</xdr:col>
      <xdr:colOff>180975</xdr:colOff>
      <xdr:row>9</xdr:row>
      <xdr:rowOff>0</xdr:rowOff>
    </xdr:to>
    <xdr:cxnSp macro="">
      <xdr:nvCxnSpPr>
        <xdr:cNvPr id="16" name="Gerade Verbindung mit Pfeil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V="1">
          <a:off x="10677525" y="1343025"/>
          <a:ext cx="0" cy="390525"/>
        </a:xfrm>
        <a:prstGeom prst="straightConnector1">
          <a:avLst/>
        </a:prstGeom>
        <a:ln w="444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12</xdr:row>
      <xdr:rowOff>0</xdr:rowOff>
    </xdr:from>
    <xdr:to>
      <xdr:col>19</xdr:col>
      <xdr:colOff>0</xdr:colOff>
      <xdr:row>14</xdr:row>
      <xdr:rowOff>0</xdr:rowOff>
    </xdr:to>
    <xdr:sp macro="" textlink="">
      <xdr:nvSpPr>
        <xdr:cNvPr id="20" name="Ellips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0496550" y="2314575"/>
          <a:ext cx="381000" cy="3810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19</xdr:col>
      <xdr:colOff>0</xdr:colOff>
      <xdr:row>13</xdr:row>
      <xdr:rowOff>0</xdr:rowOff>
    </xdr:from>
    <xdr:to>
      <xdr:col>20</xdr:col>
      <xdr:colOff>95250</xdr:colOff>
      <xdr:row>13</xdr:row>
      <xdr:rowOff>0</xdr:rowOff>
    </xdr:to>
    <xdr:cxnSp macro="">
      <xdr:nvCxnSpPr>
        <xdr:cNvPr id="21" name="Gerade Verbindung mit Pfeil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>
          <a:stCxn id="20" idx="6"/>
        </xdr:cNvCxnSpPr>
      </xdr:nvCxnSpPr>
      <xdr:spPr>
        <a:xfrm>
          <a:off x="10877550" y="2505075"/>
          <a:ext cx="285750" cy="0"/>
        </a:xfrm>
        <a:prstGeom prst="straightConnector1">
          <a:avLst/>
        </a:prstGeom>
        <a:ln w="444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12</xdr:row>
      <xdr:rowOff>180975</xdr:rowOff>
    </xdr:from>
    <xdr:to>
      <xdr:col>17</xdr:col>
      <xdr:colOff>0</xdr:colOff>
      <xdr:row>12</xdr:row>
      <xdr:rowOff>180975</xdr:rowOff>
    </xdr:to>
    <xdr:cxnSp macro="">
      <xdr:nvCxnSpPr>
        <xdr:cNvPr id="22" name="Gerade Verbindung mit Pfeil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/>
      </xdr:nvCxnSpPr>
      <xdr:spPr>
        <a:xfrm flipH="1">
          <a:off x="10115550" y="2495550"/>
          <a:ext cx="381000" cy="0"/>
        </a:xfrm>
        <a:prstGeom prst="straightConnector1">
          <a:avLst/>
        </a:prstGeom>
        <a:ln w="444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14</xdr:row>
      <xdr:rowOff>0</xdr:rowOff>
    </xdr:from>
    <xdr:to>
      <xdr:col>18</xdr:col>
      <xdr:colOff>0</xdr:colOff>
      <xdr:row>16</xdr:row>
      <xdr:rowOff>0</xdr:rowOff>
    </xdr:to>
    <xdr:cxnSp macro="">
      <xdr:nvCxnSpPr>
        <xdr:cNvPr id="23" name="Gerade Verbindung mit Pfeil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>
          <a:stCxn id="20" idx="4"/>
        </xdr:cNvCxnSpPr>
      </xdr:nvCxnSpPr>
      <xdr:spPr>
        <a:xfrm>
          <a:off x="10687050" y="2695575"/>
          <a:ext cx="0" cy="390525"/>
        </a:xfrm>
        <a:prstGeom prst="straightConnector1">
          <a:avLst/>
        </a:prstGeom>
        <a:ln w="444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180975</xdr:colOff>
      <xdr:row>9</xdr:row>
      <xdr:rowOff>152400</xdr:rowOff>
    </xdr:from>
    <xdr:to>
      <xdr:col>18</xdr:col>
      <xdr:colOff>0</xdr:colOff>
      <xdr:row>12</xdr:row>
      <xdr:rowOff>0</xdr:rowOff>
    </xdr:to>
    <xdr:cxnSp macro="">
      <xdr:nvCxnSpPr>
        <xdr:cNvPr id="26" name="Gerade Verbindung mit Pfeil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>
          <a:stCxn id="20" idx="0"/>
        </xdr:cNvCxnSpPr>
      </xdr:nvCxnSpPr>
      <xdr:spPr>
        <a:xfrm flipH="1" flipV="1">
          <a:off x="10677525" y="1885950"/>
          <a:ext cx="9525" cy="428625"/>
        </a:xfrm>
        <a:prstGeom prst="straightConnector1">
          <a:avLst/>
        </a:prstGeom>
        <a:ln w="444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18</xdr:row>
      <xdr:rowOff>0</xdr:rowOff>
    </xdr:from>
    <xdr:to>
      <xdr:col>19</xdr:col>
      <xdr:colOff>0</xdr:colOff>
      <xdr:row>20</xdr:row>
      <xdr:rowOff>0</xdr:rowOff>
    </xdr:to>
    <xdr:sp macro="" textlink="">
      <xdr:nvSpPr>
        <xdr:cNvPr id="28" name="Ellips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0496550" y="3476625"/>
          <a:ext cx="381000" cy="390525"/>
        </a:xfrm>
        <a:prstGeom prst="ellipse">
          <a:avLst/>
        </a:prstGeom>
        <a:solidFill>
          <a:schemeClr val="tx2">
            <a:lumMod val="40000"/>
            <a:lumOff val="6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18</xdr:col>
      <xdr:colOff>0</xdr:colOff>
      <xdr:row>17</xdr:row>
      <xdr:rowOff>0</xdr:rowOff>
    </xdr:from>
    <xdr:to>
      <xdr:col>18</xdr:col>
      <xdr:colOff>9525</xdr:colOff>
      <xdr:row>19</xdr:row>
      <xdr:rowOff>0</xdr:rowOff>
    </xdr:to>
    <xdr:cxnSp macro="">
      <xdr:nvCxnSpPr>
        <xdr:cNvPr id="29" name="Gerade Verbindung mit Pfeil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>
        <a:xfrm flipH="1" flipV="1">
          <a:off x="10687050" y="3286125"/>
          <a:ext cx="9525" cy="381000"/>
        </a:xfrm>
        <a:prstGeom prst="straightConnector1">
          <a:avLst/>
        </a:prstGeom>
        <a:ln w="44450">
          <a:solidFill>
            <a:schemeClr val="accent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18</xdr:row>
      <xdr:rowOff>180975</xdr:rowOff>
    </xdr:from>
    <xdr:to>
      <xdr:col>20</xdr:col>
      <xdr:colOff>0</xdr:colOff>
      <xdr:row>18</xdr:row>
      <xdr:rowOff>180975</xdr:rowOff>
    </xdr:to>
    <xdr:cxnSp macro="">
      <xdr:nvCxnSpPr>
        <xdr:cNvPr id="30" name="Gerade Verbindung mit Pfeil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/>
      </xdr:nvCxnSpPr>
      <xdr:spPr>
        <a:xfrm>
          <a:off x="10687050" y="3657600"/>
          <a:ext cx="381000" cy="0"/>
        </a:xfrm>
        <a:prstGeom prst="straightConnector1">
          <a:avLst/>
        </a:prstGeom>
        <a:ln w="44450">
          <a:solidFill>
            <a:schemeClr val="accent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23</xdr:row>
      <xdr:rowOff>0</xdr:rowOff>
    </xdr:from>
    <xdr:to>
      <xdr:col>19</xdr:col>
      <xdr:colOff>0</xdr:colOff>
      <xdr:row>25</xdr:row>
      <xdr:rowOff>9525</xdr:rowOff>
    </xdr:to>
    <xdr:sp macro="" textlink="">
      <xdr:nvSpPr>
        <xdr:cNvPr id="27" name="Ellipse 26">
          <a:extLst>
            <a:ext uri="{FF2B5EF4-FFF2-40B4-BE49-F238E27FC236}">
              <a16:creationId xmlns:a16="http://schemas.microsoft.com/office/drawing/2014/main" id="{313AFC3A-9BB8-F6E9-B56B-B4F556EE0A25}"/>
            </a:ext>
          </a:extLst>
        </xdr:cNvPr>
        <xdr:cNvSpPr/>
      </xdr:nvSpPr>
      <xdr:spPr>
        <a:xfrm>
          <a:off x="10496550" y="4448175"/>
          <a:ext cx="381000" cy="390525"/>
        </a:xfrm>
        <a:prstGeom prst="ellipse">
          <a:avLst/>
        </a:prstGeom>
        <a:solidFill>
          <a:schemeClr val="tx2">
            <a:lumMod val="40000"/>
            <a:lumOff val="6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13</xdr:col>
      <xdr:colOff>95250</xdr:colOff>
      <xdr:row>23</xdr:row>
      <xdr:rowOff>0</xdr:rowOff>
    </xdr:from>
    <xdr:to>
      <xdr:col>16</xdr:col>
      <xdr:colOff>0</xdr:colOff>
      <xdr:row>23</xdr:row>
      <xdr:rowOff>0</xdr:rowOff>
    </xdr:to>
    <xdr:cxnSp macro="">
      <xdr:nvCxnSpPr>
        <xdr:cNvPr id="31" name="Gerade Verbindung mit Pfeil 30">
          <a:extLst>
            <a:ext uri="{FF2B5EF4-FFF2-40B4-BE49-F238E27FC236}">
              <a16:creationId xmlns:a16="http://schemas.microsoft.com/office/drawing/2014/main" id="{556686BD-75C9-29CE-46FB-43E7C2648EDA}"/>
            </a:ext>
          </a:extLst>
        </xdr:cNvPr>
        <xdr:cNvCxnSpPr/>
      </xdr:nvCxnSpPr>
      <xdr:spPr>
        <a:xfrm>
          <a:off x="9829800" y="4448175"/>
          <a:ext cx="476250" cy="0"/>
        </a:xfrm>
        <a:prstGeom prst="straightConnector1">
          <a:avLst/>
        </a:prstGeom>
        <a:ln w="444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25</xdr:row>
      <xdr:rowOff>0</xdr:rowOff>
    </xdr:from>
    <xdr:to>
      <xdr:col>16</xdr:col>
      <xdr:colOff>0</xdr:colOff>
      <xdr:row>25</xdr:row>
      <xdr:rowOff>0</xdr:rowOff>
    </xdr:to>
    <xdr:cxnSp macro="">
      <xdr:nvCxnSpPr>
        <xdr:cNvPr id="32" name="Gerade Verbindung mit Pfeil 31">
          <a:extLst>
            <a:ext uri="{FF2B5EF4-FFF2-40B4-BE49-F238E27FC236}">
              <a16:creationId xmlns:a16="http://schemas.microsoft.com/office/drawing/2014/main" id="{1A8C23CF-FD03-7E31-9B75-B4E202CE8051}"/>
            </a:ext>
          </a:extLst>
        </xdr:cNvPr>
        <xdr:cNvCxnSpPr/>
      </xdr:nvCxnSpPr>
      <xdr:spPr>
        <a:xfrm>
          <a:off x="9829800" y="4829175"/>
          <a:ext cx="476250" cy="0"/>
        </a:xfrm>
        <a:prstGeom prst="straightConnector1">
          <a:avLst/>
        </a:prstGeom>
        <a:ln w="444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32</xdr:row>
      <xdr:rowOff>0</xdr:rowOff>
    </xdr:from>
    <xdr:to>
      <xdr:col>19</xdr:col>
      <xdr:colOff>0</xdr:colOff>
      <xdr:row>34</xdr:row>
      <xdr:rowOff>9525</xdr:rowOff>
    </xdr:to>
    <xdr:sp macro="" textlink="">
      <xdr:nvSpPr>
        <xdr:cNvPr id="33" name="Ellipse 32">
          <a:extLst>
            <a:ext uri="{FF2B5EF4-FFF2-40B4-BE49-F238E27FC236}">
              <a16:creationId xmlns:a16="http://schemas.microsoft.com/office/drawing/2014/main" id="{014DD53E-5C63-14E7-3615-1809E349AA1B}"/>
            </a:ext>
          </a:extLst>
        </xdr:cNvPr>
        <xdr:cNvSpPr/>
      </xdr:nvSpPr>
      <xdr:spPr>
        <a:xfrm>
          <a:off x="10496550" y="6172200"/>
          <a:ext cx="381000" cy="390525"/>
        </a:xfrm>
        <a:prstGeom prst="ellipse">
          <a:avLst/>
        </a:prstGeom>
        <a:solidFill>
          <a:schemeClr val="tx2">
            <a:lumMod val="40000"/>
            <a:lumOff val="6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19</xdr:col>
      <xdr:colOff>0</xdr:colOff>
      <xdr:row>29</xdr:row>
      <xdr:rowOff>0</xdr:rowOff>
    </xdr:from>
    <xdr:to>
      <xdr:col>19</xdr:col>
      <xdr:colOff>0</xdr:colOff>
      <xdr:row>31</xdr:row>
      <xdr:rowOff>0</xdr:rowOff>
    </xdr:to>
    <xdr:cxnSp macro="">
      <xdr:nvCxnSpPr>
        <xdr:cNvPr id="34" name="Gerade Verbindung mit Pfeil 33">
          <a:extLst>
            <a:ext uri="{FF2B5EF4-FFF2-40B4-BE49-F238E27FC236}">
              <a16:creationId xmlns:a16="http://schemas.microsoft.com/office/drawing/2014/main" id="{18C29E11-1391-6F98-2069-4202F40D6171}"/>
            </a:ext>
          </a:extLst>
        </xdr:cNvPr>
        <xdr:cNvCxnSpPr/>
      </xdr:nvCxnSpPr>
      <xdr:spPr>
        <a:xfrm>
          <a:off x="10877550" y="5600700"/>
          <a:ext cx="0" cy="381000"/>
        </a:xfrm>
        <a:prstGeom prst="straightConnector1">
          <a:avLst/>
        </a:prstGeom>
        <a:ln w="444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29</xdr:row>
      <xdr:rowOff>0</xdr:rowOff>
    </xdr:from>
    <xdr:to>
      <xdr:col>17</xdr:col>
      <xdr:colOff>0</xdr:colOff>
      <xdr:row>31</xdr:row>
      <xdr:rowOff>0</xdr:rowOff>
    </xdr:to>
    <xdr:cxnSp macro="">
      <xdr:nvCxnSpPr>
        <xdr:cNvPr id="35" name="Gerade Verbindung mit Pfeil 34">
          <a:extLst>
            <a:ext uri="{FF2B5EF4-FFF2-40B4-BE49-F238E27FC236}">
              <a16:creationId xmlns:a16="http://schemas.microsoft.com/office/drawing/2014/main" id="{3C8C4800-8DC9-F120-52A7-744BF6D425AB}"/>
            </a:ext>
          </a:extLst>
        </xdr:cNvPr>
        <xdr:cNvCxnSpPr/>
      </xdr:nvCxnSpPr>
      <xdr:spPr>
        <a:xfrm>
          <a:off x="10496550" y="5600700"/>
          <a:ext cx="0" cy="381000"/>
        </a:xfrm>
        <a:prstGeom prst="straightConnector1">
          <a:avLst/>
        </a:prstGeom>
        <a:ln w="444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>
        <a:ln w="44450">
          <a:tailEnd type="triangle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D973E-FF27-4A9E-8767-D9822CCEF431}">
  <sheetPr codeName="Tabelle3"/>
  <dimension ref="A1:D6"/>
  <sheetViews>
    <sheetView workbookViewId="0">
      <selection activeCell="B2" sqref="B2"/>
    </sheetView>
  </sheetViews>
  <sheetFormatPr baseColWidth="10" defaultRowHeight="15" x14ac:dyDescent="0.25"/>
  <sheetData>
    <row r="1" spans="1:4" x14ac:dyDescent="0.25">
      <c r="A1" t="s">
        <v>0</v>
      </c>
    </row>
    <row r="2" spans="1:4" x14ac:dyDescent="0.25">
      <c r="A2" t="s">
        <v>0</v>
      </c>
    </row>
    <row r="3" spans="1:4" x14ac:dyDescent="0.25">
      <c r="C3" s="1"/>
      <c r="D3" s="1"/>
    </row>
    <row r="4" spans="1:4" x14ac:dyDescent="0.25">
      <c r="C4" s="1"/>
      <c r="D4" s="1"/>
    </row>
    <row r="5" spans="1:4" x14ac:dyDescent="0.25">
      <c r="C5" s="1"/>
      <c r="D5" s="1"/>
    </row>
    <row r="6" spans="1:4" x14ac:dyDescent="0.25">
      <c r="C6" s="1"/>
      <c r="D6" s="1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xportTestData">
                <anchor moveWithCells="1" sizeWithCells="1">
                  <from>
                    <xdr:col>0</xdr:col>
                    <xdr:colOff>161925</xdr:colOff>
                    <xdr:row>0</xdr:row>
                    <xdr:rowOff>0</xdr:rowOff>
                  </from>
                  <to>
                    <xdr:col>1</xdr:col>
                    <xdr:colOff>9525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66D56-F339-4593-9225-86059CBEC7CD}">
  <sheetPr codeName="Tabelle1"/>
  <dimension ref="A1:L58"/>
  <sheetViews>
    <sheetView tabSelected="1" workbookViewId="0">
      <pane xSplit="1" ySplit="2" topLeftCell="B36" activePane="bottomRight" state="frozen"/>
      <selection pane="topRight" activeCell="B1" sqref="B1"/>
      <selection pane="bottomLeft" activeCell="A3" sqref="A3"/>
      <selection pane="bottomRight" activeCell="P31" sqref="P31"/>
    </sheetView>
  </sheetViews>
  <sheetFormatPr baseColWidth="10" defaultColWidth="2.85546875" defaultRowHeight="15" x14ac:dyDescent="0.25"/>
  <cols>
    <col min="1" max="9" width="11.42578125" customWidth="1"/>
    <col min="10" max="10" width="8.28515625" bestFit="1" customWidth="1"/>
    <col min="11" max="11" width="21.7109375" bestFit="1" customWidth="1"/>
    <col min="12" max="12" width="10.28515625" bestFit="1" customWidth="1"/>
  </cols>
  <sheetData>
    <row r="1" spans="1:12" x14ac:dyDescent="0.25">
      <c r="A1" t="s">
        <v>0</v>
      </c>
      <c r="B1" t="s">
        <v>1</v>
      </c>
      <c r="C1">
        <v>2</v>
      </c>
    </row>
    <row r="2" spans="1:12" x14ac:dyDescent="0.25">
      <c r="A2" t="s">
        <v>0</v>
      </c>
      <c r="B2" t="s">
        <v>17</v>
      </c>
      <c r="E2" t="s">
        <v>5</v>
      </c>
      <c r="H2" t="s">
        <v>11</v>
      </c>
    </row>
    <row r="3" spans="1:12" ht="15.75" thickBot="1" x14ac:dyDescent="0.3">
      <c r="A3" t="s">
        <v>12</v>
      </c>
      <c r="D3" t="s">
        <v>5</v>
      </c>
      <c r="E3" cm="1">
        <f t="array" ref="E3">wertTest(A3:D3,E1)</f>
        <v>0</v>
      </c>
      <c r="G3" t="s">
        <v>11</v>
      </c>
      <c r="J3" t="s">
        <v>9</v>
      </c>
      <c r="K3" t="s">
        <v>10</v>
      </c>
    </row>
    <row r="4" spans="1:12" x14ac:dyDescent="0.25">
      <c r="A4" s="21">
        <v>1</v>
      </c>
      <c r="B4" s="4">
        <f>-5*$C$1</f>
        <v>-10</v>
      </c>
      <c r="C4" s="5">
        <v>0</v>
      </c>
      <c r="D4" s="6">
        <v>0</v>
      </c>
      <c r="E4" s="4">
        <v>1</v>
      </c>
      <c r="F4" s="5">
        <v>0</v>
      </c>
      <c r="G4" s="6">
        <v>0</v>
      </c>
      <c r="H4" s="5">
        <f>-$C$1</f>
        <v>-2</v>
      </c>
      <c r="I4" s="5">
        <v>0</v>
      </c>
      <c r="J4" s="5">
        <v>0</v>
      </c>
      <c r="K4" s="15" t="s">
        <v>2</v>
      </c>
      <c r="L4" s="16" t="s">
        <v>8</v>
      </c>
    </row>
    <row r="5" spans="1:12" x14ac:dyDescent="0.25">
      <c r="A5" s="23">
        <v>1.01</v>
      </c>
      <c r="B5" s="7">
        <f>5*$C$1</f>
        <v>10</v>
      </c>
      <c r="C5" s="3">
        <v>0</v>
      </c>
      <c r="D5" s="8">
        <v>0</v>
      </c>
      <c r="E5" s="7">
        <v>-1</v>
      </c>
      <c r="F5" s="3">
        <v>0</v>
      </c>
      <c r="G5" s="8">
        <v>0</v>
      </c>
      <c r="H5" s="3">
        <f>$C$1</f>
        <v>2</v>
      </c>
      <c r="I5" s="3">
        <v>0</v>
      </c>
      <c r="J5" s="3">
        <v>0</v>
      </c>
      <c r="K5" s="17" t="s">
        <v>2</v>
      </c>
      <c r="L5" s="18" t="s">
        <v>8</v>
      </c>
    </row>
    <row r="6" spans="1:12" x14ac:dyDescent="0.25">
      <c r="A6" s="23">
        <v>1.02</v>
      </c>
      <c r="B6" s="7">
        <v>0</v>
      </c>
      <c r="C6" s="3">
        <f>-5*$C$1</f>
        <v>-10</v>
      </c>
      <c r="D6" s="8">
        <v>0</v>
      </c>
      <c r="E6" s="7">
        <v>0</v>
      </c>
      <c r="F6" s="3">
        <v>1</v>
      </c>
      <c r="G6" s="8">
        <v>0</v>
      </c>
      <c r="H6" s="3">
        <v>0</v>
      </c>
      <c r="I6" s="3">
        <f>-$C$1</f>
        <v>-2</v>
      </c>
      <c r="J6" s="3">
        <v>0</v>
      </c>
      <c r="K6" s="17" t="s">
        <v>2</v>
      </c>
      <c r="L6" s="18" t="s">
        <v>8</v>
      </c>
    </row>
    <row r="7" spans="1:12" x14ac:dyDescent="0.25">
      <c r="A7" s="23">
        <v>1.03</v>
      </c>
      <c r="B7" s="7">
        <v>0</v>
      </c>
      <c r="C7" s="3">
        <f>5*$C$1</f>
        <v>10</v>
      </c>
      <c r="D7" s="8">
        <v>0</v>
      </c>
      <c r="E7" s="7">
        <v>0</v>
      </c>
      <c r="F7" s="3">
        <v>-1</v>
      </c>
      <c r="G7" s="8">
        <v>0</v>
      </c>
      <c r="H7" s="3">
        <v>0</v>
      </c>
      <c r="I7" s="3">
        <f>$C$1</f>
        <v>2</v>
      </c>
      <c r="J7" s="3">
        <v>0</v>
      </c>
      <c r="K7" s="17" t="s">
        <v>2</v>
      </c>
      <c r="L7" s="18" t="s">
        <v>8</v>
      </c>
    </row>
    <row r="8" spans="1:12" x14ac:dyDescent="0.25">
      <c r="A8" s="23">
        <v>1.04</v>
      </c>
      <c r="B8" s="7">
        <v>0</v>
      </c>
      <c r="C8" s="3">
        <v>0</v>
      </c>
      <c r="D8" s="8">
        <f>-5*$C$1</f>
        <v>-10</v>
      </c>
      <c r="E8" s="7">
        <v>0</v>
      </c>
      <c r="F8" s="3">
        <v>0</v>
      </c>
      <c r="G8" s="8">
        <v>1</v>
      </c>
      <c r="H8" s="3">
        <v>0</v>
      </c>
      <c r="I8" s="3">
        <v>0</v>
      </c>
      <c r="J8" s="3">
        <f>-$C$1</f>
        <v>-2</v>
      </c>
      <c r="K8" s="17" t="s">
        <v>2</v>
      </c>
      <c r="L8" s="18" t="s">
        <v>8</v>
      </c>
    </row>
    <row r="9" spans="1:12" ht="15.75" thickBot="1" x14ac:dyDescent="0.3">
      <c r="A9" s="25">
        <v>1.05</v>
      </c>
      <c r="B9" s="9">
        <v>0</v>
      </c>
      <c r="C9" s="10">
        <v>0</v>
      </c>
      <c r="D9" s="11">
        <f>5*$C$1</f>
        <v>10</v>
      </c>
      <c r="E9" s="9">
        <v>0</v>
      </c>
      <c r="F9" s="10">
        <v>0</v>
      </c>
      <c r="G9" s="11">
        <v>-1</v>
      </c>
      <c r="H9" s="10">
        <v>0</v>
      </c>
      <c r="I9" s="10">
        <v>0</v>
      </c>
      <c r="J9" s="10">
        <f>$C$1</f>
        <v>2</v>
      </c>
      <c r="K9" s="19" t="s">
        <v>2</v>
      </c>
      <c r="L9" s="20" t="s">
        <v>8</v>
      </c>
    </row>
    <row r="10" spans="1:12" ht="15.75" thickBot="1" x14ac:dyDescent="0.3">
      <c r="A10" s="1" t="s">
        <v>13</v>
      </c>
      <c r="D10" t="s">
        <v>5</v>
      </c>
      <c r="E10" cm="1">
        <f t="array" ref="E10">wertTest(A10:D10,F9)</f>
        <v>0</v>
      </c>
      <c r="G10" t="s">
        <v>11</v>
      </c>
      <c r="J10" t="s">
        <v>9</v>
      </c>
      <c r="K10" t="s">
        <v>10</v>
      </c>
    </row>
    <row r="11" spans="1:12" x14ac:dyDescent="0.25">
      <c r="A11" s="21">
        <v>2</v>
      </c>
      <c r="B11" s="4">
        <f>5*$C$1</f>
        <v>10</v>
      </c>
      <c r="C11" s="5">
        <v>0</v>
      </c>
      <c r="D11" s="6">
        <v>0</v>
      </c>
      <c r="E11" s="5">
        <v>1</v>
      </c>
      <c r="F11" s="5">
        <v>0</v>
      </c>
      <c r="G11" s="5">
        <v>0</v>
      </c>
      <c r="H11" s="4">
        <f>$C$1</f>
        <v>2</v>
      </c>
      <c r="I11" s="5">
        <v>0</v>
      </c>
      <c r="J11" s="6">
        <v>0</v>
      </c>
      <c r="K11" s="22" t="s">
        <v>14</v>
      </c>
      <c r="L11" s="16" t="s">
        <v>7</v>
      </c>
    </row>
    <row r="12" spans="1:12" x14ac:dyDescent="0.25">
      <c r="A12" s="23">
        <v>2.0099999999999998</v>
      </c>
      <c r="B12" s="7">
        <f>-5*$C$1</f>
        <v>-10</v>
      </c>
      <c r="C12" s="3">
        <v>0</v>
      </c>
      <c r="D12" s="8">
        <v>0</v>
      </c>
      <c r="E12" s="3">
        <v>-1</v>
      </c>
      <c r="F12" s="3">
        <v>0</v>
      </c>
      <c r="G12" s="3">
        <v>0</v>
      </c>
      <c r="H12" s="7">
        <f>-$C$1</f>
        <v>-2</v>
      </c>
      <c r="I12" s="3">
        <v>0</v>
      </c>
      <c r="J12" s="8">
        <v>0</v>
      </c>
      <c r="K12" s="24" t="s">
        <v>14</v>
      </c>
      <c r="L12" s="18" t="s">
        <v>7</v>
      </c>
    </row>
    <row r="13" spans="1:12" x14ac:dyDescent="0.25">
      <c r="A13" s="23">
        <v>2.02</v>
      </c>
      <c r="B13" s="7">
        <v>0</v>
      </c>
      <c r="C13" s="3">
        <f>5*$C$1</f>
        <v>10</v>
      </c>
      <c r="D13" s="8">
        <v>0</v>
      </c>
      <c r="E13" s="3">
        <v>0</v>
      </c>
      <c r="F13" s="3">
        <v>1</v>
      </c>
      <c r="G13" s="3">
        <v>0</v>
      </c>
      <c r="H13" s="7">
        <v>0</v>
      </c>
      <c r="I13" s="3">
        <f>$C$1</f>
        <v>2</v>
      </c>
      <c r="J13" s="8">
        <v>0</v>
      </c>
      <c r="K13" s="24" t="s">
        <v>14</v>
      </c>
      <c r="L13" s="18" t="s">
        <v>7</v>
      </c>
    </row>
    <row r="14" spans="1:12" x14ac:dyDescent="0.25">
      <c r="A14" s="23">
        <v>2.0299999999999998</v>
      </c>
      <c r="B14" s="7">
        <v>0</v>
      </c>
      <c r="C14" s="3">
        <f>-5*$C$1</f>
        <v>-10</v>
      </c>
      <c r="D14" s="8">
        <v>0</v>
      </c>
      <c r="E14" s="3">
        <v>0</v>
      </c>
      <c r="F14" s="3">
        <v>-1</v>
      </c>
      <c r="G14" s="3">
        <v>0</v>
      </c>
      <c r="H14" s="7">
        <v>0</v>
      </c>
      <c r="I14" s="3">
        <f>-$C$1</f>
        <v>-2</v>
      </c>
      <c r="J14" s="8">
        <v>0</v>
      </c>
      <c r="K14" s="24" t="s">
        <v>14</v>
      </c>
      <c r="L14" s="18" t="s">
        <v>7</v>
      </c>
    </row>
    <row r="15" spans="1:12" x14ac:dyDescent="0.25">
      <c r="A15" s="23">
        <v>2.04</v>
      </c>
      <c r="B15" s="7">
        <v>0</v>
      </c>
      <c r="C15" s="3">
        <v>0</v>
      </c>
      <c r="D15" s="8">
        <f>5*$C$1</f>
        <v>10</v>
      </c>
      <c r="E15" s="3">
        <v>0</v>
      </c>
      <c r="F15" s="3">
        <v>0</v>
      </c>
      <c r="G15" s="3">
        <v>1</v>
      </c>
      <c r="H15" s="7">
        <v>0</v>
      </c>
      <c r="I15" s="3">
        <v>0</v>
      </c>
      <c r="J15" s="8">
        <f>$C$1</f>
        <v>2</v>
      </c>
      <c r="K15" s="24" t="s">
        <v>14</v>
      </c>
      <c r="L15" s="18" t="s">
        <v>7</v>
      </c>
    </row>
    <row r="16" spans="1:12" ht="15.75" thickBot="1" x14ac:dyDescent="0.3">
      <c r="A16" s="25">
        <v>2.0499999999999998</v>
      </c>
      <c r="B16" s="9">
        <v>0</v>
      </c>
      <c r="C16" s="10">
        <v>0</v>
      </c>
      <c r="D16" s="11">
        <f>-5*$C$1</f>
        <v>-10</v>
      </c>
      <c r="E16" s="10">
        <v>0</v>
      </c>
      <c r="F16" s="10">
        <v>0</v>
      </c>
      <c r="G16" s="10">
        <v>-1</v>
      </c>
      <c r="H16" s="9">
        <v>0</v>
      </c>
      <c r="I16" s="10">
        <v>0</v>
      </c>
      <c r="J16" s="11">
        <f>-$C$1</f>
        <v>-2</v>
      </c>
      <c r="K16" s="26" t="s">
        <v>14</v>
      </c>
      <c r="L16" s="20" t="s">
        <v>7</v>
      </c>
    </row>
    <row r="17" spans="1:12" ht="15.75" thickBot="1" x14ac:dyDescent="0.3">
      <c r="A17" s="1" t="s">
        <v>0</v>
      </c>
      <c r="B17" s="2" t="s">
        <v>16</v>
      </c>
      <c r="C17" s="2"/>
      <c r="D17" s="2"/>
      <c r="E17" s="2"/>
      <c r="F17" s="2"/>
      <c r="G17" s="2"/>
      <c r="H17" s="2"/>
      <c r="I17" s="2"/>
    </row>
    <row r="18" spans="1:12" x14ac:dyDescent="0.25">
      <c r="A18" s="21">
        <v>3</v>
      </c>
      <c r="B18" s="4">
        <v>0</v>
      </c>
      <c r="C18" s="5">
        <v>0</v>
      </c>
      <c r="D18" s="6">
        <v>0</v>
      </c>
      <c r="E18" s="5">
        <v>1</v>
      </c>
      <c r="F18" s="5">
        <v>0</v>
      </c>
      <c r="G18" s="5">
        <v>0</v>
      </c>
      <c r="H18" s="4">
        <f>$C$1</f>
        <v>2</v>
      </c>
      <c r="I18" s="5">
        <v>0</v>
      </c>
      <c r="J18" s="6">
        <v>0</v>
      </c>
      <c r="K18" s="22" t="s">
        <v>15</v>
      </c>
      <c r="L18" s="16" t="s">
        <v>8</v>
      </c>
    </row>
    <row r="19" spans="1:12" x14ac:dyDescent="0.25">
      <c r="A19" s="23">
        <v>3.01</v>
      </c>
      <c r="B19" s="7">
        <v>0</v>
      </c>
      <c r="C19" s="3">
        <v>0</v>
      </c>
      <c r="D19" s="8">
        <v>0</v>
      </c>
      <c r="E19" s="3">
        <v>0</v>
      </c>
      <c r="F19" s="3">
        <v>1</v>
      </c>
      <c r="G19" s="3">
        <v>0</v>
      </c>
      <c r="H19" s="7">
        <v>0</v>
      </c>
      <c r="I19" s="3">
        <f>$C$1</f>
        <v>2</v>
      </c>
      <c r="J19" s="8">
        <v>0</v>
      </c>
      <c r="K19" s="24" t="s">
        <v>15</v>
      </c>
      <c r="L19" s="18" t="s">
        <v>8</v>
      </c>
    </row>
    <row r="20" spans="1:12" ht="15.75" thickBot="1" x14ac:dyDescent="0.3">
      <c r="A20" s="25">
        <v>3.02</v>
      </c>
      <c r="B20" s="9">
        <v>0</v>
      </c>
      <c r="C20" s="10">
        <v>0</v>
      </c>
      <c r="D20" s="11">
        <v>0</v>
      </c>
      <c r="E20" s="10">
        <v>0</v>
      </c>
      <c r="F20" s="10">
        <v>0</v>
      </c>
      <c r="G20" s="10">
        <v>1</v>
      </c>
      <c r="H20" s="9">
        <v>0</v>
      </c>
      <c r="I20" s="10">
        <v>0</v>
      </c>
      <c r="J20" s="11">
        <v>2</v>
      </c>
      <c r="K20" s="26" t="s">
        <v>15</v>
      </c>
      <c r="L20" s="20" t="s">
        <v>8</v>
      </c>
    </row>
    <row r="21" spans="1:12" ht="15.75" thickBot="1" x14ac:dyDescent="0.3">
      <c r="A21" s="1" t="s">
        <v>0</v>
      </c>
      <c r="B21" t="s">
        <v>3</v>
      </c>
    </row>
    <row r="22" spans="1:12" x14ac:dyDescent="0.25">
      <c r="A22" s="12">
        <v>4</v>
      </c>
      <c r="B22" s="4">
        <f>-5*$C$1</f>
        <v>-10</v>
      </c>
      <c r="C22" s="5">
        <v>2</v>
      </c>
      <c r="D22" s="6">
        <v>0</v>
      </c>
      <c r="E22" s="4">
        <v>1</v>
      </c>
      <c r="F22" s="5">
        <v>0</v>
      </c>
      <c r="G22" s="6">
        <v>0</v>
      </c>
      <c r="H22" s="4">
        <v>0</v>
      </c>
      <c r="I22" s="5">
        <v>2</v>
      </c>
      <c r="J22" s="6">
        <v>0</v>
      </c>
      <c r="K22" s="15" t="s">
        <v>4</v>
      </c>
      <c r="L22" s="16" t="s">
        <v>8</v>
      </c>
    </row>
    <row r="23" spans="1:12" x14ac:dyDescent="0.25">
      <c r="A23" s="13">
        <v>4.01</v>
      </c>
      <c r="B23" s="7">
        <f>-5*$C$1</f>
        <v>-10</v>
      </c>
      <c r="C23" s="3">
        <v>-2</v>
      </c>
      <c r="D23" s="8">
        <v>0</v>
      </c>
      <c r="E23" s="7">
        <v>1</v>
      </c>
      <c r="F23" s="3">
        <v>0</v>
      </c>
      <c r="G23" s="8">
        <v>0</v>
      </c>
      <c r="H23" s="7">
        <v>0</v>
      </c>
      <c r="I23" s="3">
        <v>-2</v>
      </c>
      <c r="J23" s="8">
        <v>0</v>
      </c>
      <c r="K23" s="17" t="s">
        <v>4</v>
      </c>
      <c r="L23" s="18" t="s">
        <v>8</v>
      </c>
    </row>
    <row r="24" spans="1:12" x14ac:dyDescent="0.25">
      <c r="A24" s="13">
        <v>4.0199999999999996</v>
      </c>
      <c r="B24" s="7">
        <f>-5*$C$1</f>
        <v>-10</v>
      </c>
      <c r="C24" s="3">
        <v>0</v>
      </c>
      <c r="D24" s="8">
        <v>2</v>
      </c>
      <c r="E24" s="7">
        <v>1</v>
      </c>
      <c r="F24" s="3">
        <v>0</v>
      </c>
      <c r="G24" s="8">
        <v>0</v>
      </c>
      <c r="H24" s="7">
        <v>0</v>
      </c>
      <c r="I24" s="3">
        <v>0</v>
      </c>
      <c r="J24" s="8">
        <v>2</v>
      </c>
      <c r="K24" s="17" t="s">
        <v>4</v>
      </c>
      <c r="L24" s="18" t="s">
        <v>8</v>
      </c>
    </row>
    <row r="25" spans="1:12" x14ac:dyDescent="0.25">
      <c r="A25" s="13">
        <v>4.03</v>
      </c>
      <c r="B25" s="7">
        <f>-5*$C$1</f>
        <v>-10</v>
      </c>
      <c r="C25" s="3">
        <v>0</v>
      </c>
      <c r="D25" s="8">
        <v>-2</v>
      </c>
      <c r="E25" s="7">
        <v>1</v>
      </c>
      <c r="F25" s="3">
        <v>0</v>
      </c>
      <c r="G25" s="8">
        <v>0</v>
      </c>
      <c r="H25" s="7">
        <v>0</v>
      </c>
      <c r="I25" s="3">
        <v>0</v>
      </c>
      <c r="J25" s="8">
        <v>-2</v>
      </c>
      <c r="K25" s="17" t="s">
        <v>4</v>
      </c>
      <c r="L25" s="18" t="s">
        <v>8</v>
      </c>
    </row>
    <row r="26" spans="1:12" x14ac:dyDescent="0.25">
      <c r="A26" s="13">
        <v>4.04</v>
      </c>
      <c r="B26" s="7">
        <f>5*$C$1</f>
        <v>10</v>
      </c>
      <c r="C26" s="3">
        <v>2</v>
      </c>
      <c r="D26" s="8">
        <v>0</v>
      </c>
      <c r="E26" s="7">
        <v>-1</v>
      </c>
      <c r="F26" s="3">
        <v>0</v>
      </c>
      <c r="G26" s="8">
        <v>0</v>
      </c>
      <c r="H26" s="7">
        <v>0</v>
      </c>
      <c r="I26" s="3">
        <v>2</v>
      </c>
      <c r="J26" s="8">
        <v>0</v>
      </c>
      <c r="K26" s="17" t="s">
        <v>4</v>
      </c>
      <c r="L26" s="18" t="s">
        <v>8</v>
      </c>
    </row>
    <row r="27" spans="1:12" x14ac:dyDescent="0.25">
      <c r="A27" s="13">
        <v>4.05</v>
      </c>
      <c r="B27" s="7">
        <f>5*$C$1</f>
        <v>10</v>
      </c>
      <c r="C27" s="3">
        <v>-2</v>
      </c>
      <c r="D27" s="8">
        <v>0</v>
      </c>
      <c r="E27" s="7">
        <v>-1</v>
      </c>
      <c r="F27" s="3">
        <v>0</v>
      </c>
      <c r="G27" s="8">
        <v>0</v>
      </c>
      <c r="H27" s="7">
        <v>0</v>
      </c>
      <c r="I27" s="3">
        <v>-2</v>
      </c>
      <c r="J27" s="8">
        <v>0</v>
      </c>
      <c r="K27" s="17" t="s">
        <v>4</v>
      </c>
      <c r="L27" s="18" t="s">
        <v>8</v>
      </c>
    </row>
    <row r="28" spans="1:12" x14ac:dyDescent="0.25">
      <c r="A28" s="13">
        <v>4.0599999999999996</v>
      </c>
      <c r="B28" s="7">
        <f>5*$C$1</f>
        <v>10</v>
      </c>
      <c r="C28" s="3">
        <v>0</v>
      </c>
      <c r="D28" s="8">
        <v>2</v>
      </c>
      <c r="E28" s="7">
        <v>-1</v>
      </c>
      <c r="F28" s="3">
        <v>0</v>
      </c>
      <c r="G28" s="8">
        <v>0</v>
      </c>
      <c r="H28" s="7">
        <v>0</v>
      </c>
      <c r="I28" s="3">
        <v>0</v>
      </c>
      <c r="J28" s="8">
        <v>2</v>
      </c>
      <c r="K28" s="17" t="s">
        <v>4</v>
      </c>
      <c r="L28" s="18" t="s">
        <v>8</v>
      </c>
    </row>
    <row r="29" spans="1:12" ht="15.75" thickBot="1" x14ac:dyDescent="0.3">
      <c r="A29" s="14">
        <v>4.07</v>
      </c>
      <c r="B29" s="9">
        <f>5*$C$1</f>
        <v>10</v>
      </c>
      <c r="C29" s="10">
        <v>0</v>
      </c>
      <c r="D29" s="11">
        <v>-2</v>
      </c>
      <c r="E29" s="9">
        <v>-1</v>
      </c>
      <c r="F29" s="10">
        <v>0</v>
      </c>
      <c r="G29" s="11">
        <v>0</v>
      </c>
      <c r="H29" s="9">
        <v>0</v>
      </c>
      <c r="I29" s="10">
        <v>0</v>
      </c>
      <c r="J29" s="11">
        <v>-2</v>
      </c>
      <c r="K29" s="17" t="s">
        <v>4</v>
      </c>
      <c r="L29" s="18" t="s">
        <v>8</v>
      </c>
    </row>
    <row r="30" spans="1:12" x14ac:dyDescent="0.25">
      <c r="A30" s="12">
        <v>4.08</v>
      </c>
      <c r="B30" s="4">
        <v>2</v>
      </c>
      <c r="C30" s="5">
        <f>-5*$C$1</f>
        <v>-10</v>
      </c>
      <c r="D30" s="6">
        <v>0</v>
      </c>
      <c r="E30" s="4">
        <v>0</v>
      </c>
      <c r="F30" s="5">
        <v>1</v>
      </c>
      <c r="G30" s="6">
        <v>0</v>
      </c>
      <c r="H30" s="4">
        <v>2</v>
      </c>
      <c r="I30" s="5">
        <v>0</v>
      </c>
      <c r="J30" s="6">
        <v>0</v>
      </c>
      <c r="K30" s="15" t="s">
        <v>4</v>
      </c>
      <c r="L30" s="16" t="s">
        <v>8</v>
      </c>
    </row>
    <row r="31" spans="1:12" x14ac:dyDescent="0.25">
      <c r="A31" s="13">
        <v>4.09</v>
      </c>
      <c r="B31" s="7">
        <v>-2</v>
      </c>
      <c r="C31" s="3">
        <f>-5*$C$1</f>
        <v>-10</v>
      </c>
      <c r="D31" s="8">
        <v>0</v>
      </c>
      <c r="E31" s="7">
        <v>0</v>
      </c>
      <c r="F31" s="3">
        <v>1</v>
      </c>
      <c r="G31" s="8">
        <v>0</v>
      </c>
      <c r="H31" s="7">
        <v>-2</v>
      </c>
      <c r="I31" s="3">
        <v>0</v>
      </c>
      <c r="J31" s="8">
        <v>0</v>
      </c>
      <c r="K31" s="17" t="s">
        <v>4</v>
      </c>
      <c r="L31" s="18" t="s">
        <v>8</v>
      </c>
    </row>
    <row r="32" spans="1:12" x14ac:dyDescent="0.25">
      <c r="A32" s="13">
        <v>4.0999999999999996</v>
      </c>
      <c r="B32" s="7">
        <v>0</v>
      </c>
      <c r="C32" s="3">
        <f>-5*$C$1</f>
        <v>-10</v>
      </c>
      <c r="D32" s="8">
        <v>2</v>
      </c>
      <c r="E32" s="7">
        <v>0</v>
      </c>
      <c r="F32" s="3">
        <v>1</v>
      </c>
      <c r="G32" s="8">
        <v>0</v>
      </c>
      <c r="H32" s="7">
        <v>0</v>
      </c>
      <c r="I32" s="3">
        <v>0</v>
      </c>
      <c r="J32" s="8">
        <v>2</v>
      </c>
      <c r="K32" s="17" t="s">
        <v>4</v>
      </c>
      <c r="L32" s="18" t="s">
        <v>8</v>
      </c>
    </row>
    <row r="33" spans="1:12" x14ac:dyDescent="0.25">
      <c r="A33" s="13">
        <v>4.1100000000000003</v>
      </c>
      <c r="B33" s="7">
        <v>0</v>
      </c>
      <c r="C33" s="3">
        <f>-5*$C$1</f>
        <v>-10</v>
      </c>
      <c r="D33" s="8">
        <v>-2</v>
      </c>
      <c r="E33" s="7">
        <v>0</v>
      </c>
      <c r="F33" s="3">
        <v>1</v>
      </c>
      <c r="G33" s="8">
        <v>0</v>
      </c>
      <c r="H33" s="7">
        <v>0</v>
      </c>
      <c r="I33" s="3">
        <v>0</v>
      </c>
      <c r="J33" s="8">
        <v>-2</v>
      </c>
      <c r="K33" s="17" t="s">
        <v>4</v>
      </c>
      <c r="L33" s="18" t="s">
        <v>8</v>
      </c>
    </row>
    <row r="34" spans="1:12" x14ac:dyDescent="0.25">
      <c r="A34" s="13">
        <v>4.12</v>
      </c>
      <c r="B34" s="7">
        <v>2</v>
      </c>
      <c r="C34" s="3">
        <f>5*$C$1</f>
        <v>10</v>
      </c>
      <c r="D34" s="8">
        <v>0</v>
      </c>
      <c r="E34" s="7">
        <v>0</v>
      </c>
      <c r="F34" s="3">
        <v>-1</v>
      </c>
      <c r="G34" s="8">
        <v>0</v>
      </c>
      <c r="H34" s="7">
        <v>2</v>
      </c>
      <c r="I34" s="3">
        <v>0</v>
      </c>
      <c r="J34" s="8">
        <v>0</v>
      </c>
      <c r="K34" s="17" t="s">
        <v>4</v>
      </c>
      <c r="L34" s="18" t="s">
        <v>8</v>
      </c>
    </row>
    <row r="35" spans="1:12" x14ac:dyDescent="0.25">
      <c r="A35" s="13">
        <v>4.13</v>
      </c>
      <c r="B35" s="7">
        <v>-2</v>
      </c>
      <c r="C35" s="3">
        <f t="shared" ref="C35:C37" si="0">5*$C$1</f>
        <v>10</v>
      </c>
      <c r="D35" s="8">
        <v>0</v>
      </c>
      <c r="E35" s="7">
        <v>0</v>
      </c>
      <c r="F35" s="3">
        <v>-1</v>
      </c>
      <c r="G35" s="8">
        <v>0</v>
      </c>
      <c r="H35" s="7">
        <v>-2</v>
      </c>
      <c r="I35" s="3">
        <v>0</v>
      </c>
      <c r="J35" s="8">
        <v>0</v>
      </c>
      <c r="K35" s="17" t="s">
        <v>4</v>
      </c>
      <c r="L35" s="18" t="s">
        <v>8</v>
      </c>
    </row>
    <row r="36" spans="1:12" x14ac:dyDescent="0.25">
      <c r="A36" s="13">
        <v>4.1399999999999997</v>
      </c>
      <c r="B36" s="7">
        <v>0</v>
      </c>
      <c r="C36" s="3">
        <f t="shared" si="0"/>
        <v>10</v>
      </c>
      <c r="D36" s="8">
        <v>2</v>
      </c>
      <c r="E36" s="7">
        <v>0</v>
      </c>
      <c r="F36" s="3">
        <v>-1</v>
      </c>
      <c r="G36" s="8">
        <v>0</v>
      </c>
      <c r="H36" s="7">
        <v>0</v>
      </c>
      <c r="I36" s="3">
        <v>0</v>
      </c>
      <c r="J36" s="8">
        <v>2</v>
      </c>
      <c r="K36" s="17" t="s">
        <v>4</v>
      </c>
      <c r="L36" s="18" t="s">
        <v>8</v>
      </c>
    </row>
    <row r="37" spans="1:12" ht="15.75" thickBot="1" x14ac:dyDescent="0.3">
      <c r="A37" s="14">
        <v>4.1500000000000004</v>
      </c>
      <c r="B37" s="9">
        <v>0</v>
      </c>
      <c r="C37" s="10">
        <f t="shared" si="0"/>
        <v>10</v>
      </c>
      <c r="D37" s="11">
        <v>-2</v>
      </c>
      <c r="E37" s="9">
        <v>0</v>
      </c>
      <c r="F37" s="10">
        <v>-1</v>
      </c>
      <c r="G37" s="11">
        <v>0</v>
      </c>
      <c r="H37" s="9">
        <v>0</v>
      </c>
      <c r="I37" s="10">
        <v>0</v>
      </c>
      <c r="J37" s="11">
        <v>-2</v>
      </c>
      <c r="K37" s="19" t="s">
        <v>4</v>
      </c>
      <c r="L37" s="20" t="s">
        <v>8</v>
      </c>
    </row>
    <row r="38" spans="1:12" x14ac:dyDescent="0.25">
      <c r="A38" s="12">
        <v>4.16</v>
      </c>
      <c r="B38" s="4">
        <v>0</v>
      </c>
      <c r="C38" s="5">
        <v>2</v>
      </c>
      <c r="D38" s="6">
        <f>-5*$C$1</f>
        <v>-10</v>
      </c>
      <c r="E38" s="4">
        <v>0</v>
      </c>
      <c r="F38" s="5">
        <v>0</v>
      </c>
      <c r="G38" s="6">
        <v>1</v>
      </c>
      <c r="H38" s="4">
        <v>0</v>
      </c>
      <c r="I38" s="5">
        <v>2</v>
      </c>
      <c r="J38" s="6">
        <v>0</v>
      </c>
      <c r="K38" s="17" t="s">
        <v>4</v>
      </c>
      <c r="L38" s="18" t="s">
        <v>8</v>
      </c>
    </row>
    <row r="39" spans="1:12" x14ac:dyDescent="0.25">
      <c r="A39" s="13">
        <v>4.17</v>
      </c>
      <c r="B39" s="7">
        <v>0</v>
      </c>
      <c r="C39" s="3">
        <v>-2</v>
      </c>
      <c r="D39" s="8">
        <f t="shared" ref="D39:D41" si="1">-5*$C$1</f>
        <v>-10</v>
      </c>
      <c r="E39" s="7">
        <v>0</v>
      </c>
      <c r="F39" s="3">
        <v>0</v>
      </c>
      <c r="G39" s="8">
        <v>1</v>
      </c>
      <c r="H39" s="7">
        <v>0</v>
      </c>
      <c r="I39" s="3">
        <v>-2</v>
      </c>
      <c r="J39" s="8">
        <v>0</v>
      </c>
      <c r="K39" s="17" t="s">
        <v>4</v>
      </c>
      <c r="L39" s="18" t="s">
        <v>8</v>
      </c>
    </row>
    <row r="40" spans="1:12" x14ac:dyDescent="0.25">
      <c r="A40" s="13">
        <v>4.18</v>
      </c>
      <c r="B40" s="7">
        <v>2</v>
      </c>
      <c r="C40" s="3">
        <v>0</v>
      </c>
      <c r="D40" s="8">
        <f t="shared" si="1"/>
        <v>-10</v>
      </c>
      <c r="E40" s="7">
        <v>0</v>
      </c>
      <c r="F40" s="3">
        <v>0</v>
      </c>
      <c r="G40" s="8">
        <v>1</v>
      </c>
      <c r="H40" s="7">
        <v>2</v>
      </c>
      <c r="I40" s="3">
        <v>0</v>
      </c>
      <c r="J40" s="8">
        <v>0</v>
      </c>
      <c r="K40" s="17" t="s">
        <v>4</v>
      </c>
      <c r="L40" s="18" t="s">
        <v>8</v>
      </c>
    </row>
    <row r="41" spans="1:12" x14ac:dyDescent="0.25">
      <c r="A41" s="13">
        <v>4.1900000000000004</v>
      </c>
      <c r="B41" s="7">
        <v>-2</v>
      </c>
      <c r="C41" s="3">
        <v>0</v>
      </c>
      <c r="D41" s="8">
        <f t="shared" si="1"/>
        <v>-10</v>
      </c>
      <c r="E41" s="7">
        <v>0</v>
      </c>
      <c r="F41" s="3">
        <v>0</v>
      </c>
      <c r="G41" s="8">
        <v>1</v>
      </c>
      <c r="H41" s="7">
        <v>-2</v>
      </c>
      <c r="I41" s="3">
        <v>0</v>
      </c>
      <c r="J41" s="8">
        <v>0</v>
      </c>
      <c r="K41" s="17" t="s">
        <v>4</v>
      </c>
      <c r="L41" s="18" t="s">
        <v>8</v>
      </c>
    </row>
    <row r="42" spans="1:12" x14ac:dyDescent="0.25">
      <c r="A42" s="13">
        <v>4.2</v>
      </c>
      <c r="B42" s="7">
        <v>0</v>
      </c>
      <c r="C42" s="3">
        <v>2</v>
      </c>
      <c r="D42" s="8">
        <f>5*$C$1</f>
        <v>10</v>
      </c>
      <c r="E42" s="7">
        <v>0</v>
      </c>
      <c r="F42" s="3">
        <v>0</v>
      </c>
      <c r="G42" s="8">
        <v>-1</v>
      </c>
      <c r="H42" s="7">
        <v>0</v>
      </c>
      <c r="I42" s="3">
        <v>2</v>
      </c>
      <c r="J42" s="8">
        <v>0</v>
      </c>
      <c r="K42" s="17" t="s">
        <v>4</v>
      </c>
      <c r="L42" s="18" t="s">
        <v>8</v>
      </c>
    </row>
    <row r="43" spans="1:12" x14ac:dyDescent="0.25">
      <c r="A43" s="13">
        <v>4.21</v>
      </c>
      <c r="B43" s="7">
        <v>0</v>
      </c>
      <c r="C43" s="3">
        <v>-2</v>
      </c>
      <c r="D43" s="8">
        <f t="shared" ref="D43:D45" si="2">5*$C$1</f>
        <v>10</v>
      </c>
      <c r="E43" s="7">
        <v>0</v>
      </c>
      <c r="F43" s="3">
        <v>0</v>
      </c>
      <c r="G43" s="8">
        <v>-1</v>
      </c>
      <c r="H43" s="7">
        <v>0</v>
      </c>
      <c r="I43" s="3">
        <v>-2</v>
      </c>
      <c r="J43" s="8">
        <v>0</v>
      </c>
      <c r="K43" s="17" t="s">
        <v>4</v>
      </c>
      <c r="L43" s="18" t="s">
        <v>8</v>
      </c>
    </row>
    <row r="44" spans="1:12" x14ac:dyDescent="0.25">
      <c r="A44" s="13">
        <v>4.22</v>
      </c>
      <c r="B44" s="7">
        <v>2</v>
      </c>
      <c r="C44" s="3">
        <v>0</v>
      </c>
      <c r="D44" s="8">
        <f t="shared" si="2"/>
        <v>10</v>
      </c>
      <c r="E44" s="7">
        <v>0</v>
      </c>
      <c r="F44" s="3">
        <v>0</v>
      </c>
      <c r="G44" s="8">
        <v>-1</v>
      </c>
      <c r="H44" s="7">
        <v>2</v>
      </c>
      <c r="I44" s="3">
        <v>0</v>
      </c>
      <c r="J44" s="8">
        <v>0</v>
      </c>
      <c r="K44" s="17" t="s">
        <v>4</v>
      </c>
      <c r="L44" s="18" t="s">
        <v>8</v>
      </c>
    </row>
    <row r="45" spans="1:12" ht="15.75" thickBot="1" x14ac:dyDescent="0.3">
      <c r="A45" s="14">
        <v>4.2300000000000004</v>
      </c>
      <c r="B45" s="9">
        <v>-2</v>
      </c>
      <c r="C45" s="10">
        <v>0</v>
      </c>
      <c r="D45" s="11">
        <f t="shared" si="2"/>
        <v>10</v>
      </c>
      <c r="E45" s="9">
        <v>0</v>
      </c>
      <c r="F45" s="10">
        <v>0</v>
      </c>
      <c r="G45" s="11">
        <v>-1</v>
      </c>
      <c r="H45" s="9">
        <v>-2</v>
      </c>
      <c r="I45" s="10">
        <v>0</v>
      </c>
      <c r="J45" s="11">
        <v>0</v>
      </c>
      <c r="K45" s="19" t="s">
        <v>4</v>
      </c>
      <c r="L45" s="20" t="s">
        <v>8</v>
      </c>
    </row>
    <row r="46" spans="1:12" ht="15.75" thickBot="1" x14ac:dyDescent="0.3">
      <c r="A46" s="1" t="s">
        <v>0</v>
      </c>
      <c r="B46" t="s">
        <v>6</v>
      </c>
    </row>
    <row r="47" spans="1:12" x14ac:dyDescent="0.25">
      <c r="A47" s="21">
        <v>5</v>
      </c>
      <c r="B47" s="4">
        <f>-5*$C$1</f>
        <v>-10</v>
      </c>
      <c r="C47" s="5">
        <v>2.0000100000000001</v>
      </c>
      <c r="D47" s="5">
        <v>0</v>
      </c>
      <c r="E47" s="4">
        <v>1</v>
      </c>
      <c r="F47" s="5">
        <v>0</v>
      </c>
      <c r="G47" s="6">
        <v>0</v>
      </c>
      <c r="H47" s="5">
        <v>0</v>
      </c>
      <c r="I47" s="5">
        <v>0</v>
      </c>
      <c r="J47" s="6">
        <v>0</v>
      </c>
      <c r="K47" s="22" t="s">
        <v>7</v>
      </c>
      <c r="L47" s="16" t="s">
        <v>7</v>
      </c>
    </row>
    <row r="48" spans="1:12" x14ac:dyDescent="0.25">
      <c r="A48" s="23">
        <v>5.01</v>
      </c>
      <c r="B48" s="7">
        <f>-5*$C$1</f>
        <v>-10</v>
      </c>
      <c r="C48" s="3">
        <v>-2.0000100000000001</v>
      </c>
      <c r="D48" s="3">
        <v>0</v>
      </c>
      <c r="E48" s="7">
        <v>1</v>
      </c>
      <c r="F48" s="3">
        <v>0</v>
      </c>
      <c r="G48" s="8">
        <v>0</v>
      </c>
      <c r="H48" s="3">
        <v>0</v>
      </c>
      <c r="I48" s="3">
        <v>0</v>
      </c>
      <c r="J48" s="8">
        <v>0</v>
      </c>
      <c r="K48" s="24" t="s">
        <v>7</v>
      </c>
      <c r="L48" s="18" t="s">
        <v>7</v>
      </c>
    </row>
    <row r="49" spans="1:12" x14ac:dyDescent="0.25">
      <c r="A49" s="23">
        <v>5.0199999999999996</v>
      </c>
      <c r="B49" s="7">
        <f>5*$C$1</f>
        <v>10</v>
      </c>
      <c r="C49" s="3">
        <v>2.0000100000000001</v>
      </c>
      <c r="D49" s="3">
        <v>0</v>
      </c>
      <c r="E49" s="7">
        <v>-1</v>
      </c>
      <c r="F49" s="3">
        <v>0</v>
      </c>
      <c r="G49" s="8">
        <v>0</v>
      </c>
      <c r="H49" s="3">
        <v>0</v>
      </c>
      <c r="I49" s="3">
        <v>0</v>
      </c>
      <c r="J49" s="8">
        <v>0</v>
      </c>
      <c r="K49" s="24" t="s">
        <v>7</v>
      </c>
      <c r="L49" s="18" t="s">
        <v>7</v>
      </c>
    </row>
    <row r="50" spans="1:12" ht="15.75" thickBot="1" x14ac:dyDescent="0.3">
      <c r="A50" s="23">
        <v>5.03</v>
      </c>
      <c r="B50" s="7">
        <f>5*$C$1</f>
        <v>10</v>
      </c>
      <c r="C50" s="3">
        <v>-2.0000100000000001</v>
      </c>
      <c r="D50" s="3">
        <v>0</v>
      </c>
      <c r="E50" s="7">
        <v>-1</v>
      </c>
      <c r="F50" s="3">
        <v>0</v>
      </c>
      <c r="G50" s="8">
        <v>0</v>
      </c>
      <c r="H50" s="3">
        <v>0</v>
      </c>
      <c r="I50" s="3">
        <v>0</v>
      </c>
      <c r="J50" s="8">
        <v>0</v>
      </c>
      <c r="K50" s="24" t="s">
        <v>7</v>
      </c>
      <c r="L50" s="18" t="s">
        <v>7</v>
      </c>
    </row>
    <row r="51" spans="1:12" x14ac:dyDescent="0.25">
      <c r="A51" s="21">
        <v>5.04</v>
      </c>
      <c r="B51" s="4">
        <v>2.0000100000000001</v>
      </c>
      <c r="C51" s="5">
        <f>-5*$C$1</f>
        <v>-10</v>
      </c>
      <c r="D51" s="5">
        <v>0</v>
      </c>
      <c r="E51" s="4">
        <v>0</v>
      </c>
      <c r="F51" s="5">
        <v>1</v>
      </c>
      <c r="G51" s="6">
        <v>0</v>
      </c>
      <c r="H51" s="5">
        <v>0</v>
      </c>
      <c r="I51" s="5">
        <v>0</v>
      </c>
      <c r="J51" s="6">
        <v>0</v>
      </c>
      <c r="K51" s="22" t="s">
        <v>7</v>
      </c>
      <c r="L51" s="16" t="s">
        <v>7</v>
      </c>
    </row>
    <row r="52" spans="1:12" x14ac:dyDescent="0.25">
      <c r="A52" s="23">
        <v>5.05</v>
      </c>
      <c r="B52" s="7">
        <v>-2.0000100000000001</v>
      </c>
      <c r="C52" s="3">
        <f>-5*$C$1</f>
        <v>-10</v>
      </c>
      <c r="D52" s="3">
        <v>0</v>
      </c>
      <c r="E52" s="7">
        <v>0</v>
      </c>
      <c r="F52" s="3">
        <v>1</v>
      </c>
      <c r="G52" s="8">
        <v>0</v>
      </c>
      <c r="H52" s="3">
        <v>0</v>
      </c>
      <c r="I52" s="3">
        <v>0</v>
      </c>
      <c r="J52" s="8">
        <v>0</v>
      </c>
      <c r="K52" s="24" t="s">
        <v>7</v>
      </c>
      <c r="L52" s="18" t="s">
        <v>7</v>
      </c>
    </row>
    <row r="53" spans="1:12" x14ac:dyDescent="0.25">
      <c r="A53" s="23">
        <v>5.0599999999999996</v>
      </c>
      <c r="B53" s="7">
        <v>2.0000100000000001</v>
      </c>
      <c r="C53" s="3">
        <f>5*$C$1</f>
        <v>10</v>
      </c>
      <c r="D53" s="3">
        <v>0</v>
      </c>
      <c r="E53" s="7">
        <v>0</v>
      </c>
      <c r="F53" s="3">
        <v>-1</v>
      </c>
      <c r="G53" s="8">
        <v>0</v>
      </c>
      <c r="H53" s="3">
        <v>0</v>
      </c>
      <c r="I53" s="3">
        <v>0</v>
      </c>
      <c r="J53" s="8">
        <v>0</v>
      </c>
      <c r="K53" s="24" t="s">
        <v>7</v>
      </c>
      <c r="L53" s="18" t="s">
        <v>7</v>
      </c>
    </row>
    <row r="54" spans="1:12" ht="15.75" thickBot="1" x14ac:dyDescent="0.3">
      <c r="A54" s="25">
        <v>5.07</v>
      </c>
      <c r="B54" s="9">
        <v>-2.0000100000000001</v>
      </c>
      <c r="C54" s="10">
        <f>5*$C$1</f>
        <v>10</v>
      </c>
      <c r="D54" s="10">
        <v>0</v>
      </c>
      <c r="E54" s="9">
        <v>0</v>
      </c>
      <c r="F54" s="10">
        <v>-1</v>
      </c>
      <c r="G54" s="11">
        <v>0</v>
      </c>
      <c r="H54" s="10">
        <v>0</v>
      </c>
      <c r="I54" s="10">
        <v>0</v>
      </c>
      <c r="J54" s="11">
        <v>0</v>
      </c>
      <c r="K54" s="26" t="s">
        <v>7</v>
      </c>
      <c r="L54" s="20" t="s">
        <v>7</v>
      </c>
    </row>
    <row r="55" spans="1:12" x14ac:dyDescent="0.25">
      <c r="A55" s="23">
        <v>5.08</v>
      </c>
      <c r="B55" s="7">
        <v>0</v>
      </c>
      <c r="C55" s="3">
        <v>2.0000100000000001</v>
      </c>
      <c r="D55" s="3">
        <f>-5*$C$1</f>
        <v>-10</v>
      </c>
      <c r="E55" s="7">
        <v>0</v>
      </c>
      <c r="F55" s="3">
        <v>0</v>
      </c>
      <c r="G55" s="8">
        <v>1</v>
      </c>
      <c r="H55" s="3">
        <v>0</v>
      </c>
      <c r="I55" s="3">
        <v>0</v>
      </c>
      <c r="J55" s="8">
        <v>0</v>
      </c>
      <c r="K55" s="24" t="s">
        <v>7</v>
      </c>
      <c r="L55" s="18" t="s">
        <v>7</v>
      </c>
    </row>
    <row r="56" spans="1:12" x14ac:dyDescent="0.25">
      <c r="A56" s="23">
        <v>5.09</v>
      </c>
      <c r="B56" s="7">
        <v>0</v>
      </c>
      <c r="C56" s="3">
        <v>-2.0000100000000001</v>
      </c>
      <c r="D56" s="3">
        <f>-5*$C$1</f>
        <v>-10</v>
      </c>
      <c r="E56" s="7">
        <v>0</v>
      </c>
      <c r="F56" s="3">
        <v>0</v>
      </c>
      <c r="G56" s="8">
        <v>1</v>
      </c>
      <c r="H56" s="3">
        <v>0</v>
      </c>
      <c r="I56" s="3">
        <v>0</v>
      </c>
      <c r="J56" s="8">
        <v>0</v>
      </c>
      <c r="K56" s="24" t="s">
        <v>7</v>
      </c>
      <c r="L56" s="18" t="s">
        <v>7</v>
      </c>
    </row>
    <row r="57" spans="1:12" x14ac:dyDescent="0.25">
      <c r="A57" s="23">
        <v>5.0999999999999996</v>
      </c>
      <c r="B57" s="7">
        <v>0</v>
      </c>
      <c r="C57" s="3">
        <v>2.0000100000000001</v>
      </c>
      <c r="D57" s="3">
        <f>5*$C$1</f>
        <v>10</v>
      </c>
      <c r="E57" s="7">
        <v>0</v>
      </c>
      <c r="F57" s="3">
        <v>0</v>
      </c>
      <c r="G57" s="8">
        <v>-1</v>
      </c>
      <c r="H57" s="3">
        <v>0</v>
      </c>
      <c r="I57" s="3">
        <v>0</v>
      </c>
      <c r="J57" s="8">
        <v>0</v>
      </c>
      <c r="K57" s="24" t="s">
        <v>7</v>
      </c>
      <c r="L57" s="18" t="s">
        <v>7</v>
      </c>
    </row>
    <row r="58" spans="1:12" ht="15.75" thickBot="1" x14ac:dyDescent="0.3">
      <c r="A58" s="25">
        <v>5.1100000000000003</v>
      </c>
      <c r="B58" s="9">
        <v>0</v>
      </c>
      <c r="C58" s="10">
        <v>-2.0000100000000001</v>
      </c>
      <c r="D58" s="10">
        <f>5*$C$1</f>
        <v>10</v>
      </c>
      <c r="E58" s="9">
        <v>0</v>
      </c>
      <c r="F58" s="10">
        <v>0</v>
      </c>
      <c r="G58" s="11">
        <v>-1</v>
      </c>
      <c r="H58" s="10">
        <v>0</v>
      </c>
      <c r="I58" s="10">
        <v>0</v>
      </c>
      <c r="J58" s="11">
        <v>0</v>
      </c>
      <c r="K58" s="26" t="s">
        <v>7</v>
      </c>
      <c r="L58" s="20" t="s">
        <v>7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TestData">
                <anchor moveWithCells="1" sizeWithCells="1">
                  <from>
                    <xdr:col>0</xdr:col>
                    <xdr:colOff>161925</xdr:colOff>
                    <xdr:row>0</xdr:row>
                    <xdr:rowOff>0</xdr:rowOff>
                  </from>
                  <to>
                    <xdr:col>1</xdr:col>
                    <xdr:colOff>9525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Template</vt:lpstr>
      <vt:lpstr>TestIntersectSphere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Widder</dc:creator>
  <cp:lastModifiedBy>Johannes Widder</cp:lastModifiedBy>
  <dcterms:created xsi:type="dcterms:W3CDTF">2022-04-29T04:05:28Z</dcterms:created>
  <dcterms:modified xsi:type="dcterms:W3CDTF">2022-05-08T05:11:34Z</dcterms:modified>
</cp:coreProperties>
</file>